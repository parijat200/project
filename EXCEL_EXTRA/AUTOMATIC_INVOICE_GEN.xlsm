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1ff5e44b9817f5/Documents/"/>
    </mc:Choice>
  </mc:AlternateContent>
  <xr:revisionPtr revIDLastSave="117" documentId="8_{66E7AAC6-3D4B-4CDC-B0D1-2BF028121E43}" xr6:coauthVersionLast="47" xr6:coauthVersionMax="47" xr10:uidLastSave="{DE767464-6421-4CBF-A3F0-37C7E87F64BA}"/>
  <bookViews>
    <workbookView xWindow="-108" yWindow="-108" windowWidth="23256" windowHeight="13176" activeTab="1" xr2:uid="{DE95781B-C31D-42A1-909D-DF2528C9A763}"/>
  </bookViews>
  <sheets>
    <sheet name="Invoice Gen" sheetId="1" r:id="rId1"/>
    <sheet name="Print Invoi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D12" i="1" s="1"/>
  <c r="B11" i="1"/>
  <c r="D11" i="1" s="1"/>
  <c r="B10" i="1"/>
  <c r="D10" i="1" s="1"/>
  <c r="I3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I33" i="2" l="1"/>
  <c r="I34" i="2"/>
  <c r="B9" i="1"/>
  <c r="D9" i="1" s="1"/>
  <c r="I35" i="2" l="1"/>
</calcChain>
</file>

<file path=xl/sharedStrings.xml><?xml version="1.0" encoding="utf-8"?>
<sst xmlns="http://schemas.openxmlformats.org/spreadsheetml/2006/main" count="57" uniqueCount="28">
  <si>
    <t>Automated Bill Entry</t>
  </si>
  <si>
    <t>Invoice</t>
  </si>
  <si>
    <t>Customer Name</t>
  </si>
  <si>
    <t>Address</t>
  </si>
  <si>
    <t>Contact</t>
  </si>
  <si>
    <t>Date</t>
  </si>
  <si>
    <t>Product</t>
  </si>
  <si>
    <t>Rate</t>
  </si>
  <si>
    <t>Qty</t>
  </si>
  <si>
    <t>Amount</t>
  </si>
  <si>
    <t>Keyboard</t>
  </si>
  <si>
    <t>Mouse</t>
  </si>
  <si>
    <t>Parijat Prasun</t>
  </si>
  <si>
    <t>ABC ELECTRONIC PVT. LTD</t>
  </si>
  <si>
    <t>INVOICE</t>
  </si>
  <si>
    <t>RAJA BAJAR , OPPOSITE Z00, PATNA-800025</t>
  </si>
  <si>
    <t>Bill No.</t>
  </si>
  <si>
    <t>S.No</t>
  </si>
  <si>
    <t>Product Description</t>
  </si>
  <si>
    <t>Total</t>
  </si>
  <si>
    <t>SGST 9%</t>
  </si>
  <si>
    <t>CGST 9%</t>
  </si>
  <si>
    <t>Grand Total</t>
  </si>
  <si>
    <t>Processor</t>
  </si>
  <si>
    <t>Monitor</t>
  </si>
  <si>
    <t>Authorised Signatory</t>
  </si>
  <si>
    <t>_________________________</t>
  </si>
  <si>
    <t>Ashiana Digha , Patna-800025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</si>
</sst>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Aptos"/>
      <family val="2"/>
    </font>
    <font>
      <b/>
      <sz val="11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/>
    <xf numFmtId="0" fontId="0" fillId="7" borderId="1" xfId="0" applyFill="1" applyBorder="1"/>
    <xf numFmtId="0" fontId="0" fillId="8" borderId="1" xfId="0" applyFill="1" applyBorder="1"/>
    <xf numFmtId="0" fontId="2" fillId="2" borderId="0" xfId="0" applyFont="1" applyFill="1" applyAlignment="1">
      <alignment horizontal="center" vertical="center"/>
    </xf>
    <xf numFmtId="0" fontId="3" fillId="3" borderId="0" xfId="0" applyFont="1" applyFill="1"/>
    <xf numFmtId="0" fontId="1" fillId="0" borderId="0" xfId="0" applyFont="1" applyAlignment="1">
      <alignment horizontal="left" indent="1"/>
    </xf>
    <xf numFmtId="14" fontId="1" fillId="0" borderId="0" xfId="0" applyNumberFormat="1" applyFont="1" applyAlignment="1">
      <alignment horizontal="left" indent="1"/>
    </xf>
    <xf numFmtId="0" fontId="0" fillId="0" borderId="1" xfId="0" applyBorder="1"/>
    <xf numFmtId="0" fontId="1" fillId="0" borderId="0" xfId="0" applyFont="1"/>
    <xf numFmtId="0" fontId="0" fillId="7" borderId="2" xfId="0" applyFill="1" applyBorder="1"/>
    <xf numFmtId="0" fontId="0" fillId="7" borderId="3" xfId="0" applyFill="1" applyBorder="1"/>
    <xf numFmtId="0" fontId="0" fillId="8" borderId="2" xfId="0" applyFill="1" applyBorder="1"/>
    <xf numFmtId="0" fontId="0" fillId="8" borderId="3" xfId="0" applyFill="1" applyBorder="1"/>
    <xf numFmtId="0" fontId="1" fillId="5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9</xdr:col>
      <xdr:colOff>0</xdr:colOff>
      <xdr:row>5</xdr:row>
      <xdr:rowOff>231227</xdr:rowOff>
    </xdr:to>
    <xdr:sp macro="[0]!invoice_gen" textlink="">
      <xdr:nvSpPr>
        <xdr:cNvPr id="2" name="Rectangle 1">
          <a:extLst>
            <a:ext uri="{FF2B5EF4-FFF2-40B4-BE49-F238E27FC236}">
              <a16:creationId xmlns:a16="http://schemas.microsoft.com/office/drawing/2014/main" id="{78826F91-461E-2C3D-C3CD-943A4D4E8302}"/>
            </a:ext>
          </a:extLst>
        </xdr:cNvPr>
        <xdr:cNvSpPr/>
      </xdr:nvSpPr>
      <xdr:spPr>
        <a:xfrm>
          <a:off x="4267200" y="1061545"/>
          <a:ext cx="1219200" cy="23122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tx1">
                  <a:lumMod val="95000"/>
                  <a:lumOff val="5000"/>
                </a:schemeClr>
              </a:solidFill>
            </a:rPr>
            <a:t>INVOICE</a:t>
          </a:r>
          <a:r>
            <a:rPr lang="en-IN" sz="1200" b="1" baseline="0">
              <a:solidFill>
                <a:schemeClr val="tx1">
                  <a:lumMod val="95000"/>
                  <a:lumOff val="5000"/>
                </a:schemeClr>
              </a:solidFill>
            </a:rPr>
            <a:t> GEN</a:t>
          </a:r>
          <a:endParaRPr lang="en-IN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[0]!add_product" textlink="">
      <xdr:nvSpPr>
        <xdr:cNvPr id="7" name="Rectangle 6">
          <a:extLst>
            <a:ext uri="{FF2B5EF4-FFF2-40B4-BE49-F238E27FC236}">
              <a16:creationId xmlns:a16="http://schemas.microsoft.com/office/drawing/2014/main" id="{B4F1C11A-C558-AC19-0E6E-67041FDAB65C}"/>
            </a:ext>
          </a:extLst>
        </xdr:cNvPr>
        <xdr:cNvSpPr/>
      </xdr:nvSpPr>
      <xdr:spPr>
        <a:xfrm>
          <a:off x="4267200" y="599090"/>
          <a:ext cx="1219200" cy="23122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tx1">
                  <a:lumMod val="95000"/>
                  <a:lumOff val="5000"/>
                </a:schemeClr>
              </a:solidFill>
            </a:rPr>
            <a:t>ADD PRODUCT</a:t>
          </a:r>
          <a:endParaRPr lang="en-IN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9</xdr:col>
      <xdr:colOff>0</xdr:colOff>
      <xdr:row>8</xdr:row>
      <xdr:rowOff>47296</xdr:rowOff>
    </xdr:to>
    <xdr:sp macro="[0]!del_invoce" textlink="">
      <xdr:nvSpPr>
        <xdr:cNvPr id="8" name="Rectangle 7">
          <a:extLst>
            <a:ext uri="{FF2B5EF4-FFF2-40B4-BE49-F238E27FC236}">
              <a16:creationId xmlns:a16="http://schemas.microsoft.com/office/drawing/2014/main" id="{19EDA41B-5811-11C6-B6D5-8ADA9972D651}"/>
            </a:ext>
          </a:extLst>
        </xdr:cNvPr>
        <xdr:cNvSpPr/>
      </xdr:nvSpPr>
      <xdr:spPr>
        <a:xfrm>
          <a:off x="4267200" y="1524000"/>
          <a:ext cx="1219200" cy="23122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tx1">
                  <a:lumMod val="95000"/>
                  <a:lumOff val="5000"/>
                </a:schemeClr>
              </a:solidFill>
            </a:rPr>
            <a:t>NEW ENTRY</a:t>
          </a:r>
          <a:endParaRPr lang="en-IN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F26827-15F8-49EA-A78C-9DDFEEFB8EE4}" name="Table1" displayName="Table1" ref="A8:D12" totalsRowShown="0">
  <autoFilter ref="A8:D12" xr:uid="{B8F26827-15F8-49EA-A78C-9DDFEEFB8EE4}"/>
  <tableColumns count="4">
    <tableColumn id="1" xr3:uid="{E221400B-6CB5-4ACE-A0DC-14E07D9E6899}" name="Product"/>
    <tableColumn id="2" xr3:uid="{6D5BAB7C-4E16-43DA-B6A4-CD300C83BE7E}" name="Rate" dataDxfId="1">
      <calculatedColumnFormula>IF(A9="Keyboard",800,IF(A9="Mouse",300,IF(A9="Processor",6000,IF(A9="Monitor",1500,IF(A9="UPS",2000,IF(Table1[[#This Row],[Product]]="",""))))))</calculatedColumnFormula>
    </tableColumn>
    <tableColumn id="3" xr3:uid="{E98C3EB0-6220-4A66-AF41-E122A5C87DF9}" name="Qty"/>
    <tableColumn id="4" xr3:uid="{FA3B628C-8D5D-45A7-A5E8-8456CED7C617}" name="Amount" dataDxfId="0">
      <calculatedColumnFormula>IF(Table1[[#This Row],[Qty]]="","",C9*B9)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FB84-DE11-4AD4-A994-1840A495A231}">
  <dimension ref="A1:I15"/>
  <sheetViews>
    <sheetView zoomScale="115" zoomScaleNormal="115" workbookViewId="0">
      <selection activeCell="F17" sqref="F17"/>
    </sheetView>
  </sheetViews>
  <sheetFormatPr defaultRowHeight="14.4" x14ac:dyDescent="0.3"/>
  <sheetData>
    <row r="1" spans="1:9" x14ac:dyDescent="0.3">
      <c r="A1" s="7" t="s">
        <v>0</v>
      </c>
      <c r="B1" s="7"/>
      <c r="C1" s="7"/>
      <c r="D1" s="7"/>
      <c r="E1" s="7"/>
      <c r="F1" s="7"/>
      <c r="G1" s="7"/>
      <c r="H1" s="7"/>
      <c r="I1" s="7"/>
    </row>
    <row r="2" spans="1:9" x14ac:dyDescent="0.3">
      <c r="A2" s="7"/>
      <c r="B2" s="7"/>
      <c r="C2" s="7"/>
      <c r="D2" s="7"/>
      <c r="E2" s="7"/>
      <c r="F2" s="7"/>
      <c r="G2" s="7"/>
      <c r="H2" s="7"/>
      <c r="I2" s="7"/>
    </row>
    <row r="3" spans="1:9" ht="18" customHeight="1" x14ac:dyDescent="0.3">
      <c r="A3" s="8" t="s">
        <v>1</v>
      </c>
      <c r="B3" s="8"/>
      <c r="C3" s="2">
        <v>101</v>
      </c>
      <c r="D3" s="2"/>
      <c r="E3" s="2"/>
      <c r="F3" s="2"/>
    </row>
    <row r="4" spans="1:9" ht="18" customHeight="1" x14ac:dyDescent="0.3">
      <c r="A4" s="8" t="s">
        <v>2</v>
      </c>
      <c r="B4" s="8"/>
      <c r="C4" s="9" t="s">
        <v>12</v>
      </c>
      <c r="D4" s="9"/>
      <c r="E4" s="9"/>
      <c r="F4" s="2"/>
    </row>
    <row r="5" spans="1:9" ht="18" customHeight="1" x14ac:dyDescent="0.3">
      <c r="A5" s="8" t="s">
        <v>3</v>
      </c>
      <c r="B5" s="8"/>
      <c r="C5" s="9" t="s">
        <v>27</v>
      </c>
      <c r="D5" s="9"/>
      <c r="E5" s="9"/>
      <c r="F5" s="9"/>
    </row>
    <row r="6" spans="1:9" ht="18" customHeight="1" x14ac:dyDescent="0.3">
      <c r="A6" s="8" t="s">
        <v>4</v>
      </c>
      <c r="B6" s="8"/>
      <c r="C6" s="9">
        <v>6200401491</v>
      </c>
      <c r="D6" s="9"/>
      <c r="E6" s="2"/>
      <c r="F6" s="2"/>
    </row>
    <row r="7" spans="1:9" ht="18" customHeight="1" x14ac:dyDescent="0.3">
      <c r="A7" s="8" t="s">
        <v>5</v>
      </c>
      <c r="B7" s="8"/>
      <c r="C7" s="10">
        <v>44927</v>
      </c>
      <c r="D7" s="9"/>
      <c r="E7" s="2"/>
      <c r="F7" s="2"/>
    </row>
    <row r="8" spans="1:9" x14ac:dyDescent="0.3">
      <c r="A8" t="s">
        <v>6</v>
      </c>
      <c r="B8" t="s">
        <v>7</v>
      </c>
      <c r="C8" t="s">
        <v>8</v>
      </c>
      <c r="D8" t="s">
        <v>9</v>
      </c>
    </row>
    <row r="9" spans="1:9" x14ac:dyDescent="0.3">
      <c r="A9" t="s">
        <v>10</v>
      </c>
      <c r="B9">
        <f>IF(A9="Keyboard",800,IF(A9="Mouse",300,IF(A9="Processor",6000,IF(A9="Monitor",1500,IF(A9="UPS",2000,IF(Table1[[#This Row],[Product]]="",""))))))</f>
        <v>800</v>
      </c>
      <c r="C9">
        <v>50</v>
      </c>
      <c r="D9">
        <f>IF(Table1[[#This Row],[Qty]]="","",C9*B9)</f>
        <v>40000</v>
      </c>
    </row>
    <row r="10" spans="1:9" x14ac:dyDescent="0.3">
      <c r="A10" t="s">
        <v>11</v>
      </c>
      <c r="B10" s="21">
        <f>IF(A10="Keyboard",800,IF(A10="Mouse",300,IF(A10="Processor",6000,IF(A10="Monitor",1500,IF(A10="UPS",2000,IF(Table1[[#This Row],[Product]]="",""))))))</f>
        <v>300</v>
      </c>
      <c r="C10">
        <v>20</v>
      </c>
      <c r="D10" s="21">
        <f>IF(Table1[[#This Row],[Qty]]="","",C10*B10)</f>
        <v>6000</v>
      </c>
    </row>
    <row r="11" spans="1:9" x14ac:dyDescent="0.3">
      <c r="A11" t="s">
        <v>24</v>
      </c>
      <c r="B11" s="21">
        <f>IF(A11="Keyboard",800,IF(A11="Mouse",300,IF(A11="Processor",6000,IF(A11="Monitor",1500,IF(A11="UPS",2000,IF(Table1[[#This Row],[Product]]="",""))))))</f>
        <v>1500</v>
      </c>
      <c r="C11">
        <v>50</v>
      </c>
      <c r="D11" s="21">
        <f>IF(Table1[[#This Row],[Qty]]="","",C11*B11)</f>
        <v>75000</v>
      </c>
    </row>
    <row r="12" spans="1:9" x14ac:dyDescent="0.3">
      <c r="A12" t="s">
        <v>23</v>
      </c>
      <c r="B12" s="21">
        <f>IF(A12="Keyboard",800,IF(A12="Mouse",300,IF(A12="Processor",6000,IF(A12="Monitor",1500,IF(A12="UPS",2000,IF(Table1[[#This Row],[Product]]="",""))))))</f>
        <v>6000</v>
      </c>
      <c r="C12">
        <v>10</v>
      </c>
      <c r="D12" s="21">
        <f>IF(Table1[[#This Row],[Qty]]="","",C12*B12)</f>
        <v>60000</v>
      </c>
    </row>
    <row r="13" spans="1:9" x14ac:dyDescent="0.3">
      <c r="B13" s="21"/>
      <c r="D13" s="21"/>
    </row>
    <row r="14" spans="1:9" x14ac:dyDescent="0.3">
      <c r="B14" s="21"/>
      <c r="D14" s="21"/>
    </row>
    <row r="15" spans="1:9" x14ac:dyDescent="0.3">
      <c r="B15" s="21"/>
      <c r="D15" s="21"/>
    </row>
  </sheetData>
  <mergeCells count="10">
    <mergeCell ref="A7:B7"/>
    <mergeCell ref="C4:E4"/>
    <mergeCell ref="C5:F5"/>
    <mergeCell ref="C6:D6"/>
    <mergeCell ref="C7:D7"/>
    <mergeCell ref="A1:I2"/>
    <mergeCell ref="A3:B3"/>
    <mergeCell ref="A4:B4"/>
    <mergeCell ref="A5:B5"/>
    <mergeCell ref="A6:B6"/>
  </mergeCells>
  <dataValidations count="1">
    <dataValidation type="list" allowBlank="1" showInputMessage="1" showErrorMessage="1" sqref="A9:A12" xr:uid="{044EEC32-DCD7-4508-A46C-4E983493E3A2}">
      <formula1>"Keyboard, Mouse, Monitor, Processor, UPS"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01A11-3530-4B41-B8BA-2B1E91A0D37B}">
  <dimension ref="A1:I44"/>
  <sheetViews>
    <sheetView tabSelected="1" zoomScale="55" zoomScaleNormal="55" workbookViewId="0">
      <selection activeCell="K13" sqref="K13"/>
    </sheetView>
  </sheetViews>
  <sheetFormatPr defaultRowHeight="14.4" x14ac:dyDescent="0.3"/>
  <sheetData>
    <row r="1" spans="1:9" x14ac:dyDescent="0.3">
      <c r="A1" s="18" t="s">
        <v>13</v>
      </c>
      <c r="B1" s="18"/>
      <c r="C1" s="18"/>
      <c r="D1" s="18"/>
      <c r="E1" s="18"/>
      <c r="F1" s="18"/>
      <c r="G1" s="18"/>
      <c r="H1" s="18"/>
      <c r="I1" s="18"/>
    </row>
    <row r="2" spans="1:9" x14ac:dyDescent="0.3">
      <c r="A2" s="18"/>
      <c r="B2" s="18"/>
      <c r="C2" s="18"/>
      <c r="D2" s="18"/>
      <c r="E2" s="18"/>
      <c r="F2" s="18"/>
      <c r="G2" s="18"/>
      <c r="H2" s="18"/>
      <c r="I2" s="18"/>
    </row>
    <row r="3" spans="1:9" x14ac:dyDescent="0.3">
      <c r="A3" s="19" t="s">
        <v>15</v>
      </c>
      <c r="B3" s="19"/>
      <c r="C3" s="19"/>
      <c r="D3" s="19"/>
      <c r="E3" s="19"/>
      <c r="F3" s="19"/>
      <c r="G3" s="19"/>
      <c r="H3" s="19"/>
      <c r="I3" s="19"/>
    </row>
    <row r="4" spans="1:9" ht="15.6" x14ac:dyDescent="0.3">
      <c r="A4" s="20" t="s">
        <v>14</v>
      </c>
      <c r="B4" s="20"/>
      <c r="C4" s="20"/>
      <c r="D4" s="20"/>
      <c r="E4" s="20"/>
      <c r="F4" s="20"/>
      <c r="G4" s="20"/>
      <c r="H4" s="20"/>
      <c r="I4" s="20"/>
    </row>
    <row r="6" spans="1:9" ht="18" customHeight="1" x14ac:dyDescent="0.3">
      <c r="A6" s="12" t="s">
        <v>16</v>
      </c>
      <c r="B6" s="12"/>
      <c r="C6" s="2">
        <v>101</v>
      </c>
      <c r="D6" s="1"/>
      <c r="E6" s="1"/>
      <c r="F6" s="1" t="s">
        <v>5</v>
      </c>
      <c r="G6" s="10">
        <v>44927</v>
      </c>
      <c r="H6" s="9"/>
      <c r="I6" s="1"/>
    </row>
    <row r="7" spans="1:9" ht="18" customHeight="1" x14ac:dyDescent="0.3">
      <c r="A7" s="12"/>
      <c r="B7" s="12"/>
      <c r="C7" s="1"/>
      <c r="D7" s="1"/>
      <c r="E7" s="1"/>
      <c r="F7" s="1"/>
      <c r="G7" s="1"/>
      <c r="H7" s="1"/>
      <c r="I7" s="1"/>
    </row>
    <row r="8" spans="1:9" ht="18" customHeight="1" x14ac:dyDescent="0.3">
      <c r="A8" s="12" t="s">
        <v>2</v>
      </c>
      <c r="B8" s="12"/>
      <c r="C8" s="9" t="s">
        <v>12</v>
      </c>
      <c r="D8" s="9"/>
      <c r="E8" s="9"/>
      <c r="F8" s="1"/>
      <c r="G8" s="1"/>
      <c r="H8" s="1"/>
      <c r="I8" s="1"/>
    </row>
    <row r="9" spans="1:9" ht="18" customHeight="1" x14ac:dyDescent="0.3">
      <c r="A9" s="12" t="s">
        <v>3</v>
      </c>
      <c r="B9" s="12"/>
      <c r="C9" s="9" t="s">
        <v>27</v>
      </c>
      <c r="D9" s="9"/>
      <c r="E9" s="9"/>
      <c r="F9" s="9"/>
      <c r="G9" s="1"/>
      <c r="H9" s="1"/>
      <c r="I9" s="1"/>
    </row>
    <row r="10" spans="1:9" ht="18" customHeight="1" x14ac:dyDescent="0.3">
      <c r="A10" s="12" t="s">
        <v>4</v>
      </c>
      <c r="B10" s="12"/>
      <c r="C10" s="9">
        <v>6200401491</v>
      </c>
      <c r="D10" s="9"/>
      <c r="E10" s="1"/>
      <c r="F10" s="1"/>
      <c r="G10" s="1"/>
      <c r="H10" s="1"/>
      <c r="I10" s="1"/>
    </row>
    <row r="12" spans="1:9" ht="18" customHeight="1" x14ac:dyDescent="0.3">
      <c r="A12" s="3" t="s">
        <v>17</v>
      </c>
      <c r="B12" s="17" t="s">
        <v>18</v>
      </c>
      <c r="C12" s="17"/>
      <c r="D12" s="17"/>
      <c r="E12" s="17"/>
      <c r="F12" s="17"/>
      <c r="G12" s="3" t="s">
        <v>7</v>
      </c>
      <c r="H12" s="3" t="s">
        <v>8</v>
      </c>
      <c r="I12" s="3" t="s">
        <v>9</v>
      </c>
    </row>
    <row r="13" spans="1:9" ht="18" customHeight="1" x14ac:dyDescent="0.3">
      <c r="A13" s="4">
        <f>IF(B13&lt;&gt;"",ROW(A1),"")</f>
        <v>1</v>
      </c>
      <c r="B13" s="11" t="s">
        <v>10</v>
      </c>
      <c r="C13" s="11" t="s">
        <v>10</v>
      </c>
      <c r="D13" s="11" t="s">
        <v>10</v>
      </c>
      <c r="E13" s="11" t="s">
        <v>10</v>
      </c>
      <c r="F13" s="11" t="s">
        <v>10</v>
      </c>
      <c r="G13" s="4">
        <v>800</v>
      </c>
      <c r="H13" s="4">
        <v>50</v>
      </c>
      <c r="I13" s="4">
        <v>40000</v>
      </c>
    </row>
    <row r="14" spans="1:9" ht="18" customHeight="1" x14ac:dyDescent="0.3">
      <c r="A14" s="4">
        <f t="shared" ref="A14:A31" si="0">IF(B14&lt;&gt;"",ROW(A2),"")</f>
        <v>2</v>
      </c>
      <c r="B14" s="11" t="s">
        <v>11</v>
      </c>
      <c r="C14" s="11" t="s">
        <v>11</v>
      </c>
      <c r="D14" s="11" t="s">
        <v>11</v>
      </c>
      <c r="E14" s="11" t="s">
        <v>11</v>
      </c>
      <c r="F14" s="11" t="s">
        <v>11</v>
      </c>
      <c r="G14" s="4">
        <v>300</v>
      </c>
      <c r="H14" s="4">
        <v>20</v>
      </c>
      <c r="I14" s="4">
        <v>6000</v>
      </c>
    </row>
    <row r="15" spans="1:9" ht="18" customHeight="1" x14ac:dyDescent="0.3">
      <c r="A15" s="4">
        <f t="shared" si="0"/>
        <v>3</v>
      </c>
      <c r="B15" s="11" t="s">
        <v>24</v>
      </c>
      <c r="C15" s="11" t="s">
        <v>24</v>
      </c>
      <c r="D15" s="11" t="s">
        <v>24</v>
      </c>
      <c r="E15" s="11" t="s">
        <v>24</v>
      </c>
      <c r="F15" s="11" t="s">
        <v>24</v>
      </c>
      <c r="G15" s="4">
        <v>1500</v>
      </c>
      <c r="H15" s="4">
        <v>50</v>
      </c>
      <c r="I15" s="4">
        <v>75000</v>
      </c>
    </row>
    <row r="16" spans="1:9" ht="18" customHeight="1" x14ac:dyDescent="0.3">
      <c r="A16" s="4">
        <f t="shared" si="0"/>
        <v>4</v>
      </c>
      <c r="B16" s="11" t="s">
        <v>23</v>
      </c>
      <c r="C16" s="11" t="s">
        <v>23</v>
      </c>
      <c r="D16" s="11" t="s">
        <v>23</v>
      </c>
      <c r="E16" s="11" t="s">
        <v>23</v>
      </c>
      <c r="F16" s="11" t="s">
        <v>23</v>
      </c>
      <c r="G16" s="4">
        <v>6000</v>
      </c>
      <c r="H16" s="4">
        <v>10</v>
      </c>
      <c r="I16" s="4">
        <v>60000</v>
      </c>
    </row>
    <row r="17" spans="1:9" ht="18" customHeight="1" x14ac:dyDescent="0.3">
      <c r="A17" s="4" t="str">
        <f t="shared" si="0"/>
        <v/>
      </c>
      <c r="B17" s="11"/>
      <c r="C17" s="11"/>
      <c r="D17" s="11"/>
      <c r="E17" s="11"/>
      <c r="F17" s="11"/>
      <c r="G17" s="4"/>
      <c r="H17" s="4"/>
      <c r="I17" s="4"/>
    </row>
    <row r="18" spans="1:9" ht="18" customHeight="1" x14ac:dyDescent="0.3">
      <c r="A18" s="4" t="str">
        <f t="shared" si="0"/>
        <v/>
      </c>
      <c r="B18" s="11"/>
      <c r="C18" s="11"/>
      <c r="D18" s="11"/>
      <c r="E18" s="11"/>
      <c r="F18" s="11"/>
      <c r="G18" s="4"/>
      <c r="H18" s="4"/>
      <c r="I18" s="4"/>
    </row>
    <row r="19" spans="1:9" ht="18" customHeight="1" x14ac:dyDescent="0.3">
      <c r="A19" s="4" t="str">
        <f t="shared" si="0"/>
        <v/>
      </c>
      <c r="B19" s="11"/>
      <c r="C19" s="11"/>
      <c r="D19" s="11"/>
      <c r="E19" s="11"/>
      <c r="F19" s="11"/>
      <c r="G19" s="4"/>
      <c r="H19" s="4"/>
      <c r="I19" s="4"/>
    </row>
    <row r="20" spans="1:9" ht="18" customHeight="1" x14ac:dyDescent="0.3">
      <c r="A20" s="4" t="str">
        <f t="shared" si="0"/>
        <v/>
      </c>
      <c r="B20" s="11"/>
      <c r="C20" s="11"/>
      <c r="D20" s="11"/>
      <c r="E20" s="11"/>
      <c r="F20" s="11"/>
      <c r="G20" s="4"/>
      <c r="H20" s="4"/>
      <c r="I20" s="4"/>
    </row>
    <row r="21" spans="1:9" ht="18" customHeight="1" x14ac:dyDescent="0.3">
      <c r="A21" s="4" t="str">
        <f t="shared" si="0"/>
        <v/>
      </c>
      <c r="B21" s="11"/>
      <c r="C21" s="11"/>
      <c r="D21" s="11"/>
      <c r="E21" s="11"/>
      <c r="F21" s="11"/>
      <c r="G21" s="4"/>
      <c r="H21" s="4"/>
      <c r="I21" s="4"/>
    </row>
    <row r="22" spans="1:9" ht="18" customHeight="1" x14ac:dyDescent="0.3">
      <c r="A22" s="4" t="str">
        <f t="shared" si="0"/>
        <v/>
      </c>
      <c r="B22" s="11"/>
      <c r="C22" s="11"/>
      <c r="D22" s="11"/>
      <c r="E22" s="11"/>
      <c r="F22" s="11"/>
      <c r="G22" s="4"/>
      <c r="H22" s="4"/>
      <c r="I22" s="4"/>
    </row>
    <row r="23" spans="1:9" ht="18" customHeight="1" x14ac:dyDescent="0.3">
      <c r="A23" s="4" t="str">
        <f t="shared" si="0"/>
        <v/>
      </c>
      <c r="B23" s="11"/>
      <c r="C23" s="11"/>
      <c r="D23" s="11"/>
      <c r="E23" s="11"/>
      <c r="F23" s="11"/>
      <c r="G23" s="4"/>
      <c r="H23" s="4"/>
      <c r="I23" s="4"/>
    </row>
    <row r="24" spans="1:9" ht="18" customHeight="1" x14ac:dyDescent="0.3">
      <c r="A24" s="4" t="str">
        <f t="shared" si="0"/>
        <v/>
      </c>
      <c r="B24" s="11"/>
      <c r="C24" s="11"/>
      <c r="D24" s="11"/>
      <c r="E24" s="11"/>
      <c r="F24" s="11"/>
      <c r="G24" s="4"/>
      <c r="H24" s="4"/>
      <c r="I24" s="4"/>
    </row>
    <row r="25" spans="1:9" ht="18" customHeight="1" x14ac:dyDescent="0.3">
      <c r="A25" s="4" t="str">
        <f t="shared" si="0"/>
        <v/>
      </c>
      <c r="B25" s="11"/>
      <c r="C25" s="11"/>
      <c r="D25" s="11"/>
      <c r="E25" s="11"/>
      <c r="F25" s="11"/>
      <c r="G25" s="4"/>
      <c r="H25" s="4"/>
      <c r="I25" s="4"/>
    </row>
    <row r="26" spans="1:9" ht="18" customHeight="1" x14ac:dyDescent="0.3">
      <c r="A26" s="4" t="str">
        <f t="shared" si="0"/>
        <v/>
      </c>
      <c r="B26" s="11"/>
      <c r="C26" s="11"/>
      <c r="D26" s="11"/>
      <c r="E26" s="11"/>
      <c r="F26" s="11"/>
      <c r="G26" s="4"/>
      <c r="H26" s="4"/>
      <c r="I26" s="4"/>
    </row>
    <row r="27" spans="1:9" ht="18" customHeight="1" x14ac:dyDescent="0.3">
      <c r="A27" s="4" t="str">
        <f t="shared" si="0"/>
        <v/>
      </c>
      <c r="B27" s="11"/>
      <c r="C27" s="11"/>
      <c r="D27" s="11"/>
      <c r="E27" s="11"/>
      <c r="F27" s="11"/>
      <c r="G27" s="4"/>
      <c r="H27" s="4"/>
      <c r="I27" s="4"/>
    </row>
    <row r="28" spans="1:9" ht="18" customHeight="1" x14ac:dyDescent="0.3">
      <c r="A28" s="4" t="str">
        <f t="shared" si="0"/>
        <v/>
      </c>
      <c r="B28" s="11"/>
      <c r="C28" s="11"/>
      <c r="D28" s="11"/>
      <c r="E28" s="11"/>
      <c r="F28" s="11"/>
      <c r="G28" s="4"/>
      <c r="H28" s="4"/>
      <c r="I28" s="4"/>
    </row>
    <row r="29" spans="1:9" ht="18" customHeight="1" x14ac:dyDescent="0.3">
      <c r="A29" s="4" t="str">
        <f t="shared" si="0"/>
        <v/>
      </c>
      <c r="B29" s="11"/>
      <c r="C29" s="11"/>
      <c r="D29" s="11"/>
      <c r="E29" s="11"/>
      <c r="F29" s="11"/>
      <c r="G29" s="4"/>
      <c r="H29" s="4"/>
      <c r="I29" s="4"/>
    </row>
    <row r="30" spans="1:9" ht="18" customHeight="1" x14ac:dyDescent="0.3">
      <c r="A30" s="4" t="str">
        <f t="shared" si="0"/>
        <v/>
      </c>
      <c r="B30" s="11"/>
      <c r="C30" s="11"/>
      <c r="D30" s="11"/>
      <c r="E30" s="11"/>
      <c r="F30" s="11"/>
      <c r="G30" s="4"/>
      <c r="H30" s="4"/>
      <c r="I30" s="4"/>
    </row>
    <row r="31" spans="1:9" ht="18" customHeight="1" x14ac:dyDescent="0.3">
      <c r="A31" s="4" t="str">
        <f t="shared" si="0"/>
        <v/>
      </c>
      <c r="B31" s="11"/>
      <c r="C31" s="11"/>
      <c r="D31" s="11"/>
      <c r="E31" s="11"/>
      <c r="F31" s="11"/>
      <c r="G31" s="4"/>
      <c r="H31" s="4"/>
      <c r="I31" s="4"/>
    </row>
    <row r="32" spans="1:9" x14ac:dyDescent="0.3">
      <c r="A32" s="4"/>
      <c r="B32" s="4"/>
      <c r="C32" s="4"/>
      <c r="D32" s="4"/>
      <c r="E32" s="4"/>
      <c r="F32" s="4"/>
      <c r="G32" s="13" t="s">
        <v>19</v>
      </c>
      <c r="H32" s="14"/>
      <c r="I32" s="5">
        <f>SUM(I13:I31)</f>
        <v>181000</v>
      </c>
    </row>
    <row r="33" spans="1:9" x14ac:dyDescent="0.3">
      <c r="A33" s="4"/>
      <c r="B33" s="4"/>
      <c r="C33" s="4"/>
      <c r="D33" s="4"/>
      <c r="E33" s="4"/>
      <c r="F33" s="4"/>
      <c r="G33" s="13" t="s">
        <v>20</v>
      </c>
      <c r="H33" s="14"/>
      <c r="I33" s="5">
        <f>I32*9%</f>
        <v>16290</v>
      </c>
    </row>
    <row r="34" spans="1:9" x14ac:dyDescent="0.3">
      <c r="A34" s="4"/>
      <c r="B34" s="4"/>
      <c r="C34" s="4"/>
      <c r="D34" s="4"/>
      <c r="E34" s="4"/>
      <c r="F34" s="4"/>
      <c r="G34" s="13" t="s">
        <v>21</v>
      </c>
      <c r="H34" s="14"/>
      <c r="I34" s="5">
        <f>I32*9%</f>
        <v>16290</v>
      </c>
    </row>
    <row r="35" spans="1:9" x14ac:dyDescent="0.3">
      <c r="A35" s="4"/>
      <c r="B35" s="4"/>
      <c r="C35" s="4"/>
      <c r="D35" s="4"/>
      <c r="E35" s="4"/>
      <c r="F35" s="4"/>
      <c r="G35" s="15" t="s">
        <v>22</v>
      </c>
      <c r="H35" s="16"/>
      <c r="I35" s="6">
        <f>SUM(I32:I34)</f>
        <v>213580</v>
      </c>
    </row>
    <row r="36" spans="1:9" x14ac:dyDescent="0.3">
      <c r="A36" s="4"/>
      <c r="B36" s="4"/>
      <c r="C36" s="4"/>
      <c r="D36" s="4"/>
      <c r="E36" s="4"/>
      <c r="F36" s="4"/>
      <c r="G36" s="4"/>
      <c r="H36" s="4"/>
      <c r="I36" s="4"/>
    </row>
    <row r="37" spans="1:9" x14ac:dyDescent="0.3">
      <c r="A37" s="4"/>
      <c r="B37" s="4"/>
      <c r="C37" s="4"/>
      <c r="D37" s="4"/>
      <c r="E37" s="4"/>
      <c r="F37" s="4"/>
      <c r="G37" s="4"/>
      <c r="H37" s="4"/>
      <c r="I37" s="4"/>
    </row>
    <row r="38" spans="1:9" x14ac:dyDescent="0.3">
      <c r="A38" s="4"/>
      <c r="B38" s="4"/>
      <c r="C38" s="4"/>
      <c r="D38" s="4"/>
      <c r="E38" s="4"/>
      <c r="F38" s="4"/>
      <c r="G38" s="4"/>
      <c r="H38" s="4"/>
      <c r="I38" s="4"/>
    </row>
    <row r="39" spans="1:9" x14ac:dyDescent="0.3">
      <c r="A39" s="4"/>
      <c r="B39" s="4"/>
      <c r="C39" s="4"/>
      <c r="D39" s="4"/>
      <c r="E39" s="4"/>
      <c r="F39" s="4"/>
      <c r="G39" s="4"/>
      <c r="H39" s="4"/>
      <c r="I39" s="4"/>
    </row>
    <row r="40" spans="1:9" x14ac:dyDescent="0.3">
      <c r="A40" s="4"/>
      <c r="B40" s="4"/>
      <c r="C40" s="4"/>
      <c r="D40" s="4"/>
      <c r="E40" s="4"/>
      <c r="F40" s="4"/>
      <c r="G40" s="25" t="s">
        <v>26</v>
      </c>
      <c r="H40" s="26"/>
      <c r="I40" s="27"/>
    </row>
    <row r="41" spans="1:9" x14ac:dyDescent="0.3">
      <c r="A41" s="4"/>
      <c r="B41" s="4"/>
      <c r="C41" s="4"/>
      <c r="D41" s="4"/>
      <c r="E41" s="4"/>
      <c r="F41" s="4"/>
      <c r="G41" s="22" t="s">
        <v>25</v>
      </c>
      <c r="H41" s="23"/>
      <c r="I41" s="24"/>
    </row>
    <row r="42" spans="1:9" x14ac:dyDescent="0.3">
      <c r="A42" s="4"/>
      <c r="B42" s="4"/>
      <c r="C42" s="4"/>
      <c r="D42" s="4"/>
      <c r="E42" s="4"/>
      <c r="F42" s="4"/>
      <c r="G42" s="4"/>
      <c r="H42" s="4"/>
      <c r="I42" s="4"/>
    </row>
    <row r="43" spans="1:9" x14ac:dyDescent="0.3">
      <c r="A43" s="4"/>
      <c r="B43" s="4"/>
      <c r="C43" s="4"/>
      <c r="D43" s="4"/>
      <c r="E43" s="4"/>
      <c r="F43" s="4"/>
      <c r="G43" s="4"/>
      <c r="H43" s="4"/>
      <c r="I43" s="4"/>
    </row>
    <row r="44" spans="1:9" x14ac:dyDescent="0.3">
      <c r="A44" s="4"/>
      <c r="B44" s="4"/>
      <c r="C44" s="4"/>
      <c r="D44" s="4"/>
      <c r="E44" s="4"/>
      <c r="F44" s="4"/>
      <c r="G44" s="4"/>
      <c r="H44" s="4"/>
      <c r="I44" s="4"/>
    </row>
  </sheetData>
  <mergeCells count="38">
    <mergeCell ref="G41:I41"/>
    <mergeCell ref="G40:I40"/>
    <mergeCell ref="A1:I2"/>
    <mergeCell ref="A3:I3"/>
    <mergeCell ref="A4:I4"/>
    <mergeCell ref="A6:B6"/>
    <mergeCell ref="A7:B7"/>
    <mergeCell ref="B18:F18"/>
    <mergeCell ref="A9:B9"/>
    <mergeCell ref="A10:B10"/>
    <mergeCell ref="C8:E8"/>
    <mergeCell ref="C9:F9"/>
    <mergeCell ref="C10:D10"/>
    <mergeCell ref="B12:F12"/>
    <mergeCell ref="A8:B8"/>
    <mergeCell ref="G35:H35"/>
    <mergeCell ref="B25:F25"/>
    <mergeCell ref="B26:F26"/>
    <mergeCell ref="B27:F27"/>
    <mergeCell ref="B28:F28"/>
    <mergeCell ref="B29:F29"/>
    <mergeCell ref="B30:F30"/>
    <mergeCell ref="B31:F31"/>
    <mergeCell ref="G6:H6"/>
    <mergeCell ref="G32:H32"/>
    <mergeCell ref="G33:H33"/>
    <mergeCell ref="G34:H34"/>
    <mergeCell ref="B19:F19"/>
    <mergeCell ref="B20:F20"/>
    <mergeCell ref="B21:F21"/>
    <mergeCell ref="B22:F22"/>
    <mergeCell ref="B23:F23"/>
    <mergeCell ref="B24:F24"/>
    <mergeCell ref="B13:F13"/>
    <mergeCell ref="B14:F14"/>
    <mergeCell ref="B15:F15"/>
    <mergeCell ref="B16:F16"/>
    <mergeCell ref="B17:F1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Gen</vt:lpstr>
      <vt:lpstr>Print 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Parijat Prasun</dc:creator>
  <cp:lastModifiedBy>Parijat Prasun</cp:lastModifiedBy>
  <cp:lastPrinted>2023-11-05T15:18:11Z</cp:lastPrinted>
  <dcterms:created xsi:type="dcterms:W3CDTF">2023-11-05T12:24:28Z</dcterms:created>
  <dcterms:modified xsi:type="dcterms:W3CDTF">2023-11-05T15:20:22Z</dcterms:modified>
</cp:coreProperties>
</file>